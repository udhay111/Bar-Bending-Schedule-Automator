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850856df196c48b0" Type="http://schemas.microsoft.com/office/2007/relationships/ui/extensibility" Target="customUI/customUI14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 Files\ConstructionManagement\Spreadsheets\Excel_Platform\BarBendingSchedule\"/>
    </mc:Choice>
  </mc:AlternateContent>
  <xr:revisionPtr revIDLastSave="0" documentId="13_ncr:1_{39233AD6-8BB4-4D4C-A10A-7C62716304D5}" xr6:coauthVersionLast="47" xr6:coauthVersionMax="47" xr10:uidLastSave="{00000000-0000-0000-0000-000000000000}"/>
  <bookViews>
    <workbookView xWindow="-120" yWindow="-120" windowWidth="20730" windowHeight="11760" activeTab="1" xr2:uid="{93475EAE-79E0-4196-8153-437C68C5D5DD}"/>
  </bookViews>
  <sheets>
    <sheet name="Bar Schedule" sheetId="34" r:id="rId1"/>
    <sheet name="Bar Weight" sheetId="3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34" l="1"/>
  <c r="I8" i="34" s="1"/>
  <c r="I5" i="34"/>
  <c r="G23" i="35"/>
  <c r="G22" i="35"/>
  <c r="G21" i="35"/>
  <c r="G20" i="35"/>
  <c r="G19" i="35"/>
  <c r="G18" i="35"/>
  <c r="G17" i="35"/>
  <c r="G16" i="35"/>
  <c r="G15" i="35"/>
  <c r="G14" i="35"/>
  <c r="G12" i="35"/>
  <c r="G10" i="35"/>
  <c r="G9" i="35"/>
  <c r="F23" i="35"/>
  <c r="F22" i="35"/>
  <c r="F21" i="35"/>
  <c r="F20" i="35"/>
  <c r="F19" i="35"/>
  <c r="F18" i="35"/>
  <c r="F17" i="35"/>
  <c r="F16" i="35"/>
  <c r="F15" i="35"/>
  <c r="F14" i="35"/>
  <c r="F12" i="35"/>
  <c r="F10" i="35"/>
  <c r="F9" i="35"/>
  <c r="I5" i="35"/>
  <c r="J8" i="34" l="1"/>
  <c r="G11" i="35" s="1"/>
  <c r="F11" i="35"/>
  <c r="G13" i="35"/>
  <c r="F13" i="35"/>
  <c r="G24" i="35" l="1"/>
</calcChain>
</file>

<file path=xl/sharedStrings.xml><?xml version="1.0" encoding="utf-8"?>
<sst xmlns="http://schemas.openxmlformats.org/spreadsheetml/2006/main" count="59" uniqueCount="37">
  <si>
    <t>Office Name</t>
  </si>
  <si>
    <t>Office Address Line 01</t>
  </si>
  <si>
    <t>Office Address Line 02</t>
  </si>
  <si>
    <t>Tel : Telephone Number</t>
  </si>
  <si>
    <t>Section :</t>
  </si>
  <si>
    <t>Location :</t>
  </si>
  <si>
    <t>Floor Loction</t>
  </si>
  <si>
    <t>Project Location</t>
  </si>
  <si>
    <t>Project Address Line 01</t>
  </si>
  <si>
    <t>Project Address Line 02</t>
  </si>
  <si>
    <t>Job No :</t>
  </si>
  <si>
    <t>Any Number</t>
  </si>
  <si>
    <t>Prepared By :</t>
  </si>
  <si>
    <t>Checked By :</t>
  </si>
  <si>
    <t>Name Of Prepared Person</t>
  </si>
  <si>
    <t>Name of Checked Person</t>
  </si>
  <si>
    <t>Status :</t>
  </si>
  <si>
    <t>Drawing No :</t>
  </si>
  <si>
    <t>Revision :</t>
  </si>
  <si>
    <t>Date :</t>
  </si>
  <si>
    <t>Last Revised :</t>
  </si>
  <si>
    <t>Sheet No :</t>
  </si>
  <si>
    <t>Description</t>
  </si>
  <si>
    <t>Mark Type</t>
  </si>
  <si>
    <t>Bar Type</t>
  </si>
  <si>
    <t>Bar Dia</t>
  </si>
  <si>
    <t>No of Sets</t>
  </si>
  <si>
    <t>Number per Set</t>
  </si>
  <si>
    <t>Bar Shape</t>
  </si>
  <si>
    <t>Total Numbers</t>
  </si>
  <si>
    <t>Bar Weight [kg]</t>
  </si>
  <si>
    <t>Bar Lenth [mm]</t>
  </si>
  <si>
    <t>Bar Size</t>
  </si>
  <si>
    <t xml:space="preserve"> Total Bar Length [m]</t>
  </si>
  <si>
    <t>Total Weight of Bars [Kg}</t>
  </si>
  <si>
    <t>Total Weight</t>
  </si>
  <si>
    <t>Fe500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</si>
</sst>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9" xfId="0" applyBorder="1" applyAlignment="1">
      <alignment horizontal="right" vertical="center"/>
    </xf>
    <xf numFmtId="0" fontId="0" fillId="0" borderId="10" xfId="0" applyBorder="1" applyAlignment="1">
      <alignment horizontal="right"/>
    </xf>
    <xf numFmtId="0" fontId="1" fillId="0" borderId="11" xfId="0" applyFont="1" applyBorder="1"/>
    <xf numFmtId="0" fontId="0" fillId="0" borderId="0" xfId="0" applyBorder="1"/>
    <xf numFmtId="0" fontId="1" fillId="0" borderId="12" xfId="0" applyFont="1" applyBorder="1"/>
    <xf numFmtId="0" fontId="0" fillId="0" borderId="14" xfId="0" applyBorder="1" applyAlignment="1">
      <alignment horizontal="right"/>
    </xf>
    <xf numFmtId="0" fontId="0" fillId="0" borderId="14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14" fontId="1" fillId="0" borderId="12" xfId="0" applyNumberFormat="1" applyFont="1" applyBorder="1"/>
    <xf numFmtId="0" fontId="0" fillId="0" borderId="16" xfId="0" applyBorder="1" applyAlignment="1">
      <alignment horizontal="right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right" vertical="center"/>
    </xf>
    <xf numFmtId="0" fontId="0" fillId="0" borderId="5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14" fontId="1" fillId="0" borderId="12" xfId="0" applyNumberFormat="1" applyFont="1" applyBorder="1" applyAlignment="1">
      <alignment horizontal="left" vertical="center"/>
    </xf>
    <xf numFmtId="14" fontId="1" fillId="0" borderId="1" xfId="0" applyNumberFormat="1" applyFont="1" applyBorder="1" applyAlignment="1">
      <alignment horizontal="left"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37B4EBFB-8056-4837-B465-D7C02EA4099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Work%20Files\ConstructionManagement\Spreadsheets\Excel_Platform\BarBendingSchedule\Logo.jp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D:\Work%20Files\ConstructionManagement\Spreadsheets\Excel_Platform\BarBendingSchedule\Logo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0</xdr:row>
      <xdr:rowOff>19050</xdr:rowOff>
    </xdr:from>
    <xdr:to>
      <xdr:col>0</xdr:col>
      <xdr:colOff>857250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988ADDD-389C-43EC-A37F-4F3FC4E8B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" y="19050"/>
          <a:ext cx="600075" cy="657225"/>
        </a:xfrm>
        <a:prstGeom prst="rect">
          <a:avLst/>
        </a:prstGeom>
      </xdr:spPr>
    </xdr:pic>
    <xdr:clientData/>
  </xdr:twoCellAnchor>
  <xdr:twoCellAnchor>
    <xdr:from>
      <xdr:col>6</xdr:col>
      <xdr:colOff>73025</xdr:colOff>
      <xdr:row>7</xdr:row>
      <xdr:rowOff>119063</xdr:rowOff>
    </xdr:from>
    <xdr:to>
      <xdr:col>7</xdr:col>
      <xdr:colOff>9524</xdr:colOff>
      <xdr:row>7</xdr:row>
      <xdr:rowOff>719138</xdr:rowOff>
    </xdr:to>
    <xdr:grpSp>
      <xdr:nvGrpSpPr>
        <xdr:cNvPr id="21" name="Bar_Shape_08$J$8">
          <a:extLst>
            <a:ext uri="{FF2B5EF4-FFF2-40B4-BE49-F238E27FC236}">
              <a16:creationId xmlns:a16="http://schemas.microsoft.com/office/drawing/2014/main" id="{B15CFEAC-C9C2-4E22-9899-78EA8237A72E}"/>
            </a:ext>
          </a:extLst>
        </xdr:cNvPr>
        <xdr:cNvGrpSpPr/>
      </xdr:nvGrpSpPr>
      <xdr:grpSpPr>
        <a:xfrm>
          <a:off x="4302125" y="690563"/>
          <a:ext cx="2136774" cy="600075"/>
          <a:chOff x="4292600" y="585788"/>
          <a:chExt cx="2136774" cy="600075"/>
        </a:xfrm>
      </xdr:grpSpPr>
      <xdr:cxnSp macro="">
        <xdr:nvCxnSpPr>
          <xdr:cNvPr id="2" name="Shape_08_Line_01$J$8">
            <a:extLst>
              <a:ext uri="{FF2B5EF4-FFF2-40B4-BE49-F238E27FC236}">
                <a16:creationId xmlns:a16="http://schemas.microsoft.com/office/drawing/2014/main" id="{C5816D43-ADB1-4545-8806-E72B6B239527}"/>
              </a:ext>
            </a:extLst>
          </xdr:cNvPr>
          <xdr:cNvCxnSpPr/>
        </xdr:nvCxnSpPr>
        <xdr:spPr>
          <a:xfrm>
            <a:off x="4356100" y="776288"/>
            <a:ext cx="440055" cy="0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4" name="Shape_08_Line_02$J$8">
            <a:extLst>
              <a:ext uri="{FF2B5EF4-FFF2-40B4-BE49-F238E27FC236}">
                <a16:creationId xmlns:a16="http://schemas.microsoft.com/office/drawing/2014/main" id="{46A3ECB3-3890-481F-A534-CAB8863F6D9A}"/>
              </a:ext>
            </a:extLst>
          </xdr:cNvPr>
          <xdr:cNvCxnSpPr/>
        </xdr:nvCxnSpPr>
        <xdr:spPr>
          <a:xfrm>
            <a:off x="4796155" y="776288"/>
            <a:ext cx="313055" cy="409575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5" name="Shape_08_Line_03$J$8">
            <a:extLst>
              <a:ext uri="{FF2B5EF4-FFF2-40B4-BE49-F238E27FC236}">
                <a16:creationId xmlns:a16="http://schemas.microsoft.com/office/drawing/2014/main" id="{D11FF35E-4FBA-4410-8B8F-524C204B7F14}"/>
              </a:ext>
            </a:extLst>
          </xdr:cNvPr>
          <xdr:cNvCxnSpPr/>
        </xdr:nvCxnSpPr>
        <xdr:spPr>
          <a:xfrm>
            <a:off x="5109210" y="1185863"/>
            <a:ext cx="440055" cy="0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6" name="Shape_08_Line_04$J$8">
            <a:extLst>
              <a:ext uri="{FF2B5EF4-FFF2-40B4-BE49-F238E27FC236}">
                <a16:creationId xmlns:a16="http://schemas.microsoft.com/office/drawing/2014/main" id="{C9AE0E3C-1562-46DB-8B7B-FDD3168C77F7}"/>
              </a:ext>
            </a:extLst>
          </xdr:cNvPr>
          <xdr:cNvCxnSpPr/>
        </xdr:nvCxnSpPr>
        <xdr:spPr>
          <a:xfrm flipV="1">
            <a:off x="5549265" y="776288"/>
            <a:ext cx="313055" cy="409575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Shape_08_Line_05$J$8">
            <a:extLst>
              <a:ext uri="{FF2B5EF4-FFF2-40B4-BE49-F238E27FC236}">
                <a16:creationId xmlns:a16="http://schemas.microsoft.com/office/drawing/2014/main" id="{C1CBE4DE-AE0E-43C7-80E6-ADC6FD3E13E1}"/>
              </a:ext>
            </a:extLst>
          </xdr:cNvPr>
          <xdr:cNvCxnSpPr/>
        </xdr:nvCxnSpPr>
        <xdr:spPr>
          <a:xfrm>
            <a:off x="5862320" y="776288"/>
            <a:ext cx="440055" cy="0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" name="Shape_08_Bend_01$J$8">
            <a:extLst>
              <a:ext uri="{FF2B5EF4-FFF2-40B4-BE49-F238E27FC236}">
                <a16:creationId xmlns:a16="http://schemas.microsoft.com/office/drawing/2014/main" id="{3FAB8DA9-7B48-45D3-BD1B-48A5D9366C43}"/>
              </a:ext>
            </a:extLst>
          </xdr:cNvPr>
          <xdr:cNvSpPr/>
        </xdr:nvSpPr>
        <xdr:spPr>
          <a:xfrm>
            <a:off x="4292600" y="776288"/>
            <a:ext cx="127000" cy="127000"/>
          </a:xfrm>
          <a:prstGeom prst="arc">
            <a:avLst>
              <a:gd name="adj1" fmla="val 5400000"/>
              <a:gd name="adj2" fmla="val 16200000"/>
            </a:avLst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Shape_08_Bend_02$J$8">
            <a:extLst>
              <a:ext uri="{FF2B5EF4-FFF2-40B4-BE49-F238E27FC236}">
                <a16:creationId xmlns:a16="http://schemas.microsoft.com/office/drawing/2014/main" id="{F922EB26-3223-48D6-8833-C796CD545AF4}"/>
              </a:ext>
            </a:extLst>
          </xdr:cNvPr>
          <xdr:cNvSpPr/>
        </xdr:nvSpPr>
        <xdr:spPr>
          <a:xfrm>
            <a:off x="6238875" y="776288"/>
            <a:ext cx="127000" cy="127000"/>
          </a:xfrm>
          <a:prstGeom prst="arc">
            <a:avLst>
              <a:gd name="adj1" fmla="val 16200000"/>
              <a:gd name="adj2" fmla="val 5400000"/>
            </a:avLst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hape_08_Dimension_Line_01$J$8">
            <a:extLst>
              <a:ext uri="{FF2B5EF4-FFF2-40B4-BE49-F238E27FC236}">
                <a16:creationId xmlns:a16="http://schemas.microsoft.com/office/drawing/2014/main" id="{CA998CD7-538B-4F30-A86C-6B1F3A51CB00}"/>
              </a:ext>
            </a:extLst>
          </xdr:cNvPr>
          <xdr:cNvCxnSpPr/>
        </xdr:nvCxnSpPr>
        <xdr:spPr>
          <a:xfrm>
            <a:off x="4669155" y="776288"/>
            <a:ext cx="0" cy="409575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Shape_08_Dimension_Line_02$J$8">
            <a:extLst>
              <a:ext uri="{FF2B5EF4-FFF2-40B4-BE49-F238E27FC236}">
                <a16:creationId xmlns:a16="http://schemas.microsoft.com/office/drawing/2014/main" id="{229A21B2-A159-422C-9442-8D0F87B68BC9}"/>
              </a:ext>
            </a:extLst>
          </xdr:cNvPr>
          <xdr:cNvCxnSpPr/>
        </xdr:nvCxnSpPr>
        <xdr:spPr>
          <a:xfrm>
            <a:off x="5989320" y="776288"/>
            <a:ext cx="0" cy="409575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Shape_08_Dimension_Line_Extension_01$J$8">
            <a:extLst>
              <a:ext uri="{FF2B5EF4-FFF2-40B4-BE49-F238E27FC236}">
                <a16:creationId xmlns:a16="http://schemas.microsoft.com/office/drawing/2014/main" id="{A46E5505-A182-4BDE-8DB9-CD84C7F25AFB}"/>
              </a:ext>
            </a:extLst>
          </xdr:cNvPr>
          <xdr:cNvCxnSpPr/>
        </xdr:nvCxnSpPr>
        <xdr:spPr>
          <a:xfrm>
            <a:off x="4542155" y="1185863"/>
            <a:ext cx="567055" cy="0"/>
          </a:xfrm>
          <a:prstGeom prst="straightConnector1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" name="Shape_08_Dimension_Line_Extension_02$J$8">
            <a:extLst>
              <a:ext uri="{FF2B5EF4-FFF2-40B4-BE49-F238E27FC236}">
                <a16:creationId xmlns:a16="http://schemas.microsoft.com/office/drawing/2014/main" id="{4845D70C-6340-4D08-9916-61FB310475E0}"/>
              </a:ext>
            </a:extLst>
          </xdr:cNvPr>
          <xdr:cNvCxnSpPr/>
        </xdr:nvCxnSpPr>
        <xdr:spPr>
          <a:xfrm>
            <a:off x="5549265" y="1185863"/>
            <a:ext cx="567055" cy="0"/>
          </a:xfrm>
          <a:prstGeom prst="straightConnector1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4" name="Shape_08_Text_01$J$8">
            <a:extLst>
              <a:ext uri="{FF2B5EF4-FFF2-40B4-BE49-F238E27FC236}">
                <a16:creationId xmlns:a16="http://schemas.microsoft.com/office/drawing/2014/main" id="{DD2038A3-989D-46FD-A179-D423F2CEDC09}"/>
              </a:ext>
            </a:extLst>
          </xdr:cNvPr>
          <xdr:cNvSpPr txBox="1"/>
        </xdr:nvSpPr>
        <xdr:spPr>
          <a:xfrm>
            <a:off x="4356100" y="585788"/>
            <a:ext cx="660082" cy="190500"/>
          </a:xfrm>
          <a:prstGeom prst="rect">
            <a:avLst/>
          </a:prstGeom>
          <a:noFill/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dk1"/>
                </a:solidFill>
                <a:prstDash val="solid"/>
                <a:miter lim="800000"/>
              </a14:hiddenLine>
            </a:ext>
          </a:extLst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n-US" sz="1100"/>
              <a:t>160</a:t>
            </a:r>
          </a:p>
        </xdr:txBody>
      </xdr:sp>
      <xdr:sp macro="" textlink="">
        <xdr:nvSpPr>
          <xdr:cNvPr id="15" name="Shape_08_Text_02$J$8">
            <a:extLst>
              <a:ext uri="{FF2B5EF4-FFF2-40B4-BE49-F238E27FC236}">
                <a16:creationId xmlns:a16="http://schemas.microsoft.com/office/drawing/2014/main" id="{C9359F01-1B8E-4244-B262-B23E2831DE66}"/>
              </a:ext>
            </a:extLst>
          </xdr:cNvPr>
          <xdr:cNvSpPr txBox="1"/>
        </xdr:nvSpPr>
        <xdr:spPr>
          <a:xfrm>
            <a:off x="4308475" y="898525"/>
            <a:ext cx="444500" cy="196850"/>
          </a:xfrm>
          <a:prstGeom prst="rect">
            <a:avLst/>
          </a:prstGeom>
          <a:noFill/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dk1"/>
                </a:solidFill>
                <a:prstDash val="solid"/>
                <a:miter lim="800000"/>
              </a14:hiddenLine>
            </a:ext>
          </a:extLst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n-US" sz="1100"/>
              <a:t>450</a:t>
            </a:r>
          </a:p>
        </xdr:txBody>
      </xdr:sp>
      <xdr:sp macro="" textlink="">
        <xdr:nvSpPr>
          <xdr:cNvPr id="16" name="Shape_08_Text_03$J$8">
            <a:extLst>
              <a:ext uri="{FF2B5EF4-FFF2-40B4-BE49-F238E27FC236}">
                <a16:creationId xmlns:a16="http://schemas.microsoft.com/office/drawing/2014/main" id="{D04AA134-BBE0-4616-89FF-91C67AB33759}"/>
              </a:ext>
            </a:extLst>
          </xdr:cNvPr>
          <xdr:cNvSpPr txBox="1"/>
        </xdr:nvSpPr>
        <xdr:spPr>
          <a:xfrm>
            <a:off x="5935345" y="898525"/>
            <a:ext cx="398780" cy="168275"/>
          </a:xfrm>
          <a:prstGeom prst="rect">
            <a:avLst/>
          </a:prstGeom>
          <a:noFill/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dk1"/>
                </a:solidFill>
                <a:prstDash val="solid"/>
                <a:miter lim="800000"/>
              </a14:hiddenLine>
            </a:ext>
          </a:extLst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n-US" sz="1100"/>
              <a:t>450</a:t>
            </a:r>
          </a:p>
        </xdr:txBody>
      </xdr:sp>
      <xdr:sp macro="" textlink="">
        <xdr:nvSpPr>
          <xdr:cNvPr id="17" name="Shape_08_Text_04$J$8">
            <a:extLst>
              <a:ext uri="{FF2B5EF4-FFF2-40B4-BE49-F238E27FC236}">
                <a16:creationId xmlns:a16="http://schemas.microsoft.com/office/drawing/2014/main" id="{59A4B342-5314-49DF-BAE0-0A0F16B5EA5C}"/>
              </a:ext>
            </a:extLst>
          </xdr:cNvPr>
          <xdr:cNvSpPr txBox="1"/>
        </xdr:nvSpPr>
        <xdr:spPr>
          <a:xfrm>
            <a:off x="5045710" y="995363"/>
            <a:ext cx="660082" cy="190500"/>
          </a:xfrm>
          <a:prstGeom prst="rect">
            <a:avLst/>
          </a:prstGeom>
          <a:noFill/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dk1"/>
                </a:solidFill>
                <a:prstDash val="solid"/>
                <a:miter lim="800000"/>
              </a14:hiddenLine>
            </a:ext>
          </a:extLst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n-US" sz="1100"/>
              <a:t>650</a:t>
            </a:r>
          </a:p>
        </xdr:txBody>
      </xdr:sp>
      <xdr:sp macro="" textlink="">
        <xdr:nvSpPr>
          <xdr:cNvPr id="18" name="Shape_08_Text_05$J$8">
            <a:extLst>
              <a:ext uri="{FF2B5EF4-FFF2-40B4-BE49-F238E27FC236}">
                <a16:creationId xmlns:a16="http://schemas.microsoft.com/office/drawing/2014/main" id="{F1AEA442-1EF6-42F0-B6F7-80E8FD354373}"/>
              </a:ext>
            </a:extLst>
          </xdr:cNvPr>
          <xdr:cNvSpPr txBox="1"/>
        </xdr:nvSpPr>
        <xdr:spPr>
          <a:xfrm>
            <a:off x="4796155" y="790575"/>
            <a:ext cx="660082" cy="190500"/>
          </a:xfrm>
          <a:prstGeom prst="rect">
            <a:avLst/>
          </a:prstGeom>
          <a:noFill/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dk1"/>
                </a:solidFill>
                <a:prstDash val="solid"/>
                <a:miter lim="800000"/>
              </a14:hiddenLine>
            </a:ext>
          </a:extLst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n-US" sz="1100"/>
              <a:t>650</a:t>
            </a:r>
          </a:p>
        </xdr:txBody>
      </xdr:sp>
      <xdr:sp macro="" textlink="">
        <xdr:nvSpPr>
          <xdr:cNvPr id="19" name="Shape_08_Text_06$J$8">
            <a:extLst>
              <a:ext uri="{FF2B5EF4-FFF2-40B4-BE49-F238E27FC236}">
                <a16:creationId xmlns:a16="http://schemas.microsoft.com/office/drawing/2014/main" id="{5C8BB5C0-74DF-464F-8F99-A601551785DB}"/>
              </a:ext>
            </a:extLst>
          </xdr:cNvPr>
          <xdr:cNvSpPr txBox="1"/>
        </xdr:nvSpPr>
        <xdr:spPr>
          <a:xfrm>
            <a:off x="5422265" y="790575"/>
            <a:ext cx="660082" cy="190500"/>
          </a:xfrm>
          <a:prstGeom prst="rect">
            <a:avLst/>
          </a:prstGeom>
          <a:noFill/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dk1"/>
                </a:solidFill>
                <a:prstDash val="solid"/>
                <a:miter lim="800000"/>
              </a14:hiddenLine>
            </a:ext>
          </a:extLst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n-US" sz="1100"/>
              <a:t>560</a:t>
            </a:r>
          </a:p>
        </xdr:txBody>
      </xdr:sp>
      <xdr:sp macro="" textlink="">
        <xdr:nvSpPr>
          <xdr:cNvPr id="20" name="Shape_08_Text_07$J$8">
            <a:extLst>
              <a:ext uri="{FF2B5EF4-FFF2-40B4-BE49-F238E27FC236}">
                <a16:creationId xmlns:a16="http://schemas.microsoft.com/office/drawing/2014/main" id="{6D1BDED8-A739-4942-B2D6-248DC227392B}"/>
              </a:ext>
            </a:extLst>
          </xdr:cNvPr>
          <xdr:cNvSpPr txBox="1"/>
        </xdr:nvSpPr>
        <xdr:spPr>
          <a:xfrm>
            <a:off x="5769292" y="585788"/>
            <a:ext cx="660082" cy="190500"/>
          </a:xfrm>
          <a:prstGeom prst="rect">
            <a:avLst/>
          </a:prstGeom>
          <a:noFill/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dk1"/>
                </a:solidFill>
                <a:prstDash val="solid"/>
                <a:miter lim="800000"/>
              </a14:hiddenLine>
            </a:ext>
          </a:extLst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n-US" sz="1100"/>
              <a:t>785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600075</xdr:colOff>
      <xdr:row>2</xdr:row>
      <xdr:rowOff>114300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00E2CA4-B3A1-4B23-9B4F-9761D66F9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600075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3F952-EB43-483D-BFDB-F7EC304B7252}">
  <sheetPr codeName="Sheet1"/>
  <dimension ref="A1:J9"/>
  <sheetViews>
    <sheetView workbookViewId="0">
      <pane ySplit="7" topLeftCell="A8" activePane="bottomLeft" state="frozen"/>
      <selection pane="bottomLeft" activeCell="G9" sqref="G9"/>
    </sheetView>
  </sheetViews>
  <sheetFormatPr defaultRowHeight="65.099999999999994" customHeight="1" outlineLevelRow="1" x14ac:dyDescent="0.25"/>
  <cols>
    <col min="1" max="1" width="15.7109375" customWidth="1"/>
    <col min="2" max="2" width="9.5703125" customWidth="1"/>
    <col min="4" max="4" width="8" customWidth="1"/>
    <col min="5" max="5" width="8.7109375" customWidth="1"/>
    <col min="6" max="6" width="12.28515625" customWidth="1"/>
    <col min="7" max="7" width="33" customWidth="1"/>
    <col min="8" max="8" width="13.42578125" customWidth="1"/>
  </cols>
  <sheetData>
    <row r="1" spans="1:10" ht="15" hidden="1" customHeight="1" outlineLevel="1" x14ac:dyDescent="0.25">
      <c r="A1" s="36"/>
      <c r="B1" s="38" t="s">
        <v>0</v>
      </c>
      <c r="C1" s="38"/>
      <c r="D1" s="38"/>
      <c r="E1" s="25"/>
      <c r="F1" s="22" t="s">
        <v>7</v>
      </c>
      <c r="G1" s="23"/>
      <c r="H1" s="8" t="s">
        <v>16</v>
      </c>
      <c r="I1" s="26"/>
      <c r="J1" s="27"/>
    </row>
    <row r="2" spans="1:10" ht="15" hidden="1" customHeight="1" outlineLevel="1" x14ac:dyDescent="0.25">
      <c r="A2" s="36"/>
      <c r="B2" s="39" t="s">
        <v>1</v>
      </c>
      <c r="C2" s="39"/>
      <c r="D2" s="39"/>
      <c r="E2" s="40"/>
      <c r="F2" s="24" t="s">
        <v>8</v>
      </c>
      <c r="G2" s="25"/>
      <c r="H2" s="8" t="s">
        <v>17</v>
      </c>
      <c r="I2" s="26"/>
      <c r="J2" s="27"/>
    </row>
    <row r="3" spans="1:10" ht="15" hidden="1" customHeight="1" outlineLevel="1" x14ac:dyDescent="0.25">
      <c r="A3" s="36"/>
      <c r="B3" s="39" t="s">
        <v>2</v>
      </c>
      <c r="C3" s="39"/>
      <c r="D3" s="39"/>
      <c r="E3" s="40"/>
      <c r="F3" s="24" t="s">
        <v>9</v>
      </c>
      <c r="G3" s="25"/>
      <c r="H3" s="8" t="s">
        <v>21</v>
      </c>
      <c r="I3" s="26"/>
      <c r="J3" s="27"/>
    </row>
    <row r="4" spans="1:10" ht="15" hidden="1" customHeight="1" outlineLevel="1" x14ac:dyDescent="0.25">
      <c r="A4" s="37"/>
      <c r="B4" s="40" t="s">
        <v>3</v>
      </c>
      <c r="C4" s="40"/>
      <c r="D4" s="40"/>
      <c r="E4" s="40"/>
      <c r="F4" s="2" t="s">
        <v>10</v>
      </c>
      <c r="G4" s="3" t="s">
        <v>11</v>
      </c>
      <c r="H4" s="7" t="s">
        <v>18</v>
      </c>
      <c r="I4" s="26"/>
      <c r="J4" s="27"/>
    </row>
    <row r="5" spans="1:10" ht="15" hidden="1" customHeight="1" outlineLevel="1" x14ac:dyDescent="0.25">
      <c r="A5" s="1" t="s">
        <v>4</v>
      </c>
      <c r="B5" s="33"/>
      <c r="C5" s="34"/>
      <c r="D5" s="34"/>
      <c r="E5" s="35"/>
      <c r="F5" s="2" t="s">
        <v>12</v>
      </c>
      <c r="G5" s="3" t="s">
        <v>14</v>
      </c>
      <c r="H5" s="8" t="s">
        <v>19</v>
      </c>
      <c r="I5" s="28">
        <f ca="1">TODAY()</f>
        <v>44688</v>
      </c>
      <c r="J5" s="29"/>
    </row>
    <row r="6" spans="1:10" ht="15" hidden="1" customHeight="1" outlineLevel="1" x14ac:dyDescent="0.25">
      <c r="A6" s="10" t="s">
        <v>5</v>
      </c>
      <c r="B6" s="30" t="s">
        <v>6</v>
      </c>
      <c r="C6" s="31"/>
      <c r="D6" s="31"/>
      <c r="E6" s="32"/>
      <c r="F6" s="6" t="s">
        <v>13</v>
      </c>
      <c r="G6" s="3" t="s">
        <v>15</v>
      </c>
      <c r="H6" s="7" t="s">
        <v>20</v>
      </c>
      <c r="I6" s="26"/>
      <c r="J6" s="27"/>
    </row>
    <row r="7" spans="1:10" ht="45" collapsed="1" x14ac:dyDescent="0.25">
      <c r="A7" s="16" t="s">
        <v>22</v>
      </c>
      <c r="B7" s="16" t="s">
        <v>23</v>
      </c>
      <c r="C7" s="16" t="s">
        <v>24</v>
      </c>
      <c r="D7" s="16" t="s">
        <v>25</v>
      </c>
      <c r="E7" s="17" t="s">
        <v>26</v>
      </c>
      <c r="F7" s="18" t="s">
        <v>27</v>
      </c>
      <c r="G7" s="19" t="s">
        <v>28</v>
      </c>
      <c r="H7" s="20" t="s">
        <v>29</v>
      </c>
      <c r="I7" s="21" t="s">
        <v>31</v>
      </c>
      <c r="J7" s="21" t="s">
        <v>30</v>
      </c>
    </row>
    <row r="8" spans="1:10" ht="65.099999999999994" customHeight="1" x14ac:dyDescent="0.25">
      <c r="C8" s="15" t="s">
        <v>36</v>
      </c>
      <c r="D8" s="15">
        <v>8</v>
      </c>
      <c r="E8" s="15">
        <v>2</v>
      </c>
      <c r="F8" s="15">
        <v>14</v>
      </c>
      <c r="H8" s="15">
        <f>$F$8*$E$8</f>
        <v>28</v>
      </c>
      <c r="I8" s="15">
        <f>$H$8*(160+450+650+650+560+785+450+(2*9*$D$8))</f>
        <v>107772</v>
      </c>
      <c r="J8" s="15">
        <f>ROUND((($I$8*$D$8*$D$8)/162000),2)</f>
        <v>42.58</v>
      </c>
    </row>
    <row r="9" spans="1:10" ht="65.099999999999994" customHeight="1" x14ac:dyDescent="0.25">
      <c r="C9" s="15"/>
      <c r="D9" s="15"/>
      <c r="E9" s="15"/>
      <c r="F9" s="15"/>
      <c r="H9" s="15"/>
      <c r="I9" s="15"/>
      <c r="J9" s="15"/>
    </row>
  </sheetData>
  <mergeCells count="16">
    <mergeCell ref="B6:E6"/>
    <mergeCell ref="B5:E5"/>
    <mergeCell ref="A1:A4"/>
    <mergeCell ref="B1:E1"/>
    <mergeCell ref="B2:E2"/>
    <mergeCell ref="B3:E3"/>
    <mergeCell ref="B4:E4"/>
    <mergeCell ref="F1:G1"/>
    <mergeCell ref="F2:G2"/>
    <mergeCell ref="F3:G3"/>
    <mergeCell ref="I6:J6"/>
    <mergeCell ref="I5:J5"/>
    <mergeCell ref="I4:J4"/>
    <mergeCell ref="I3:J3"/>
    <mergeCell ref="I2:J2"/>
    <mergeCell ref="I1:J1"/>
  </mergeCells>
  <dataValidations count="3">
    <dataValidation allowBlank="1" showInputMessage="1" showErrorMessage="1" sqref="A8:B8 K8:XFD8 C9:C12 E8:J12 D9:D12" xr:uid="{D26C2D52-A4EB-4AF0-9570-55C6050524CB}"/>
    <dataValidation type="list" allowBlank="1" showInputMessage="1" showErrorMessage="1" sqref="C8" xr:uid="{487E63E6-066C-452D-89F7-DFD210FE4D48}">
      <formula1>"Fe250,Fe415,Fe500,Fe550,Fe550D"</formula1>
    </dataValidation>
    <dataValidation type="list" allowBlank="1" showInputMessage="1" showErrorMessage="1" sqref="D8" xr:uid="{90920FD9-9DE7-4B2C-B2CB-49D9409A8B9A}">
      <formula1>"5,6,8,10,12,16,20,22,25,28,32,36,40,45,50"</formula1>
    </dataValidation>
  </dataValidations>
  <pageMargins left="0.7" right="0.7" top="0.75" bottom="0.75" header="0.3" footer="0.3"/>
  <pageSetup paperSize="9" orientation="landscape" cellComments="atEnd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D5EE1-9DFD-4C80-BC0C-5C8233D6F1B0}">
  <sheetPr codeName="Sheet2"/>
  <dimension ref="A1:I24"/>
  <sheetViews>
    <sheetView showGridLines="0" tabSelected="1" workbookViewId="0">
      <selection activeCell="H15" sqref="H15"/>
    </sheetView>
  </sheetViews>
  <sheetFormatPr defaultRowHeight="15" x14ac:dyDescent="0.25"/>
  <cols>
    <col min="2" max="2" width="9.5703125" customWidth="1"/>
    <col min="4" max="4" width="8" customWidth="1"/>
    <col min="5" max="5" width="8.7109375" customWidth="1"/>
    <col min="6" max="6" width="13.85546875" customWidth="1"/>
    <col min="7" max="7" width="24.42578125" bestFit="1" customWidth="1"/>
    <col min="8" max="8" width="13.42578125" customWidth="1"/>
    <col min="9" max="9" width="10.42578125" bestFit="1" customWidth="1"/>
  </cols>
  <sheetData>
    <row r="1" spans="1:9" x14ac:dyDescent="0.25">
      <c r="A1" s="36"/>
      <c r="B1" s="38" t="s">
        <v>0</v>
      </c>
      <c r="C1" s="38"/>
      <c r="D1" s="38"/>
      <c r="E1" s="38"/>
      <c r="F1" s="22" t="s">
        <v>7</v>
      </c>
      <c r="G1" s="23"/>
      <c r="H1" s="8" t="s">
        <v>16</v>
      </c>
      <c r="I1" s="5"/>
    </row>
    <row r="2" spans="1:9" x14ac:dyDescent="0.25">
      <c r="A2" s="36"/>
      <c r="B2" s="39" t="s">
        <v>1</v>
      </c>
      <c r="C2" s="39"/>
      <c r="D2" s="39"/>
      <c r="E2" s="39"/>
      <c r="F2" s="24" t="s">
        <v>8</v>
      </c>
      <c r="G2" s="25"/>
      <c r="H2" s="8" t="s">
        <v>17</v>
      </c>
      <c r="I2" s="5"/>
    </row>
    <row r="3" spans="1:9" x14ac:dyDescent="0.25">
      <c r="A3" s="36"/>
      <c r="B3" s="39" t="s">
        <v>2</v>
      </c>
      <c r="C3" s="39"/>
      <c r="D3" s="39"/>
      <c r="E3" s="39"/>
      <c r="F3" s="24" t="s">
        <v>9</v>
      </c>
      <c r="G3" s="25"/>
      <c r="H3" s="8" t="s">
        <v>21</v>
      </c>
      <c r="I3" s="5"/>
    </row>
    <row r="4" spans="1:9" x14ac:dyDescent="0.25">
      <c r="A4" s="36"/>
      <c r="B4" s="39" t="s">
        <v>3</v>
      </c>
      <c r="C4" s="39"/>
      <c r="D4" s="39"/>
      <c r="E4" s="39"/>
      <c r="F4" s="2" t="s">
        <v>10</v>
      </c>
      <c r="G4" s="3" t="s">
        <v>11</v>
      </c>
      <c r="H4" s="7" t="s">
        <v>18</v>
      </c>
      <c r="I4" s="5"/>
    </row>
    <row r="5" spans="1:9" x14ac:dyDescent="0.25">
      <c r="A5" s="1" t="s">
        <v>4</v>
      </c>
      <c r="B5" s="33"/>
      <c r="C5" s="34"/>
      <c r="D5" s="34"/>
      <c r="E5" s="35"/>
      <c r="F5" s="2" t="s">
        <v>12</v>
      </c>
      <c r="G5" s="3" t="s">
        <v>14</v>
      </c>
      <c r="H5" s="8" t="s">
        <v>19</v>
      </c>
      <c r="I5" s="9">
        <f ca="1">TODAY()</f>
        <v>44688</v>
      </c>
    </row>
    <row r="6" spans="1:9" x14ac:dyDescent="0.25">
      <c r="A6" s="10" t="s">
        <v>5</v>
      </c>
      <c r="B6" s="30" t="s">
        <v>6</v>
      </c>
      <c r="C6" s="31"/>
      <c r="D6" s="31"/>
      <c r="E6" s="32"/>
      <c r="F6" s="6" t="s">
        <v>13</v>
      </c>
      <c r="G6" s="3" t="s">
        <v>15</v>
      </c>
      <c r="H6" s="7" t="s">
        <v>20</v>
      </c>
      <c r="I6" s="5"/>
    </row>
    <row r="7" spans="1:9" x14ac:dyDescent="0.25">
      <c r="F7" s="4"/>
      <c r="G7" s="4"/>
    </row>
    <row r="8" spans="1:9" x14ac:dyDescent="0.25">
      <c r="E8" s="11" t="s">
        <v>32</v>
      </c>
      <c r="F8" s="11" t="s">
        <v>33</v>
      </c>
      <c r="G8" s="11" t="s">
        <v>34</v>
      </c>
    </row>
    <row r="9" spans="1:9" x14ac:dyDescent="0.25">
      <c r="E9" s="12">
        <v>5</v>
      </c>
      <c r="F9" s="13">
        <f>ROUND(((SUMIF('Bar Schedule'!D8:D1048576,E9,'Bar Schedule'!I8:I1048576))/1000),2)</f>
        <v>0</v>
      </c>
      <c r="G9" s="13">
        <f>ROUND((SUMIF('Bar Schedule'!D8:D1048576,E9,'Bar Schedule'!J8:J1048576)),2)</f>
        <v>0</v>
      </c>
    </row>
    <row r="10" spans="1:9" x14ac:dyDescent="0.25">
      <c r="E10" s="12">
        <v>6</v>
      </c>
      <c r="F10" s="13">
        <f>ROUND(((SUMIF('Bar Schedule'!D8:D1048576,E10,'Bar Schedule'!I8:I1048576))/1000),2)</f>
        <v>0</v>
      </c>
      <c r="G10" s="13">
        <f>ROUND((SUMIF('Bar Schedule'!D8:D1048576,E10,'Bar Schedule'!J8:J1048576)),2)</f>
        <v>0</v>
      </c>
    </row>
    <row r="11" spans="1:9" x14ac:dyDescent="0.25">
      <c r="E11" s="12">
        <v>8</v>
      </c>
      <c r="F11" s="13">
        <f>ROUND(((SUMIF('Bar Schedule'!D8:D1048576,E11,'Bar Schedule'!I8:I1048576))/1000),2)</f>
        <v>107.77</v>
      </c>
      <c r="G11" s="13">
        <f>ROUND((SUMIF('Bar Schedule'!D8:D1048576,E11,'Bar Schedule'!J8:J1048576)),2)</f>
        <v>42.58</v>
      </c>
    </row>
    <row r="12" spans="1:9" x14ac:dyDescent="0.25">
      <c r="E12" s="12">
        <v>10</v>
      </c>
      <c r="F12" s="13">
        <f>ROUND(((SUMIF('Bar Schedule'!D8:D1048576,E12,'Bar Schedule'!I8:I1048576))/1000),2)</f>
        <v>0</v>
      </c>
      <c r="G12" s="13">
        <f>ROUND((SUMIF('Bar Schedule'!D8:D1048576,E12,'Bar Schedule'!J8:J1048576)),2)</f>
        <v>0</v>
      </c>
    </row>
    <row r="13" spans="1:9" x14ac:dyDescent="0.25">
      <c r="E13" s="12">
        <v>12</v>
      </c>
      <c r="F13" s="13">
        <f>ROUND(((SUMIF('Bar Schedule'!D8:D1048576,E13,'Bar Schedule'!I8:I1048576))/1000),2)</f>
        <v>0</v>
      </c>
      <c r="G13" s="13">
        <f>ROUND((SUMIF('Bar Schedule'!D8:D1048576,E13,'Bar Schedule'!J8:J1048576)),2)</f>
        <v>0</v>
      </c>
    </row>
    <row r="14" spans="1:9" x14ac:dyDescent="0.25">
      <c r="E14" s="12">
        <v>16</v>
      </c>
      <c r="F14" s="13">
        <f>ROUND(((SUMIF('Bar Schedule'!D8:D1048576,E14,'Bar Schedule'!I8:I1048576))/1000),2)</f>
        <v>0</v>
      </c>
      <c r="G14" s="13">
        <f>ROUND((SUMIF('Bar Schedule'!D8:D1048576,E14,'Bar Schedule'!J8:J1048576)),2)</f>
        <v>0</v>
      </c>
    </row>
    <row r="15" spans="1:9" x14ac:dyDescent="0.25">
      <c r="E15" s="12">
        <v>20</v>
      </c>
      <c r="F15" s="13">
        <f>ROUND(((SUMIF('Bar Schedule'!D8:D1048576,E15,'Bar Schedule'!I8:I1048576))/1000),2)</f>
        <v>0</v>
      </c>
      <c r="G15" s="13">
        <f>ROUND((SUMIF('Bar Schedule'!D8:D1048576,E15,'Bar Schedule'!J8:J1048576)),2)</f>
        <v>0</v>
      </c>
    </row>
    <row r="16" spans="1:9" x14ac:dyDescent="0.25">
      <c r="E16" s="12">
        <v>22</v>
      </c>
      <c r="F16" s="13">
        <f>ROUND(((SUMIF('Bar Schedule'!D8:D1048576,E16,'Bar Schedule'!I8:I1048576))/1000),2)</f>
        <v>0</v>
      </c>
      <c r="G16" s="13">
        <f>ROUND((SUMIF('Bar Schedule'!D8:D1048576,E16,'Bar Schedule'!J8:J1048576)),2)</f>
        <v>0</v>
      </c>
    </row>
    <row r="17" spans="5:7" x14ac:dyDescent="0.25">
      <c r="E17" s="12">
        <v>25</v>
      </c>
      <c r="F17" s="13">
        <f>ROUND(((SUMIF('Bar Schedule'!D8:D1048576,E17,'Bar Schedule'!I8:I1048576))/1000),2)</f>
        <v>0</v>
      </c>
      <c r="G17" s="13">
        <f>ROUND((SUMIF('Bar Schedule'!D8:D1048576,E17,'Bar Schedule'!J8:J1048576)),2)</f>
        <v>0</v>
      </c>
    </row>
    <row r="18" spans="5:7" x14ac:dyDescent="0.25">
      <c r="E18" s="12">
        <v>28</v>
      </c>
      <c r="F18" s="13">
        <f>ROUND(((SUMIF('Bar Schedule'!D8:D1048576,E18,'Bar Schedule'!I8:I1048576))/1000),2)</f>
        <v>0</v>
      </c>
      <c r="G18" s="13">
        <f>ROUND((SUMIF('Bar Schedule'!D8:D1048576,E18,'Bar Schedule'!J8:J1048576)),2)</f>
        <v>0</v>
      </c>
    </row>
    <row r="19" spans="5:7" x14ac:dyDescent="0.25">
      <c r="E19" s="12">
        <v>32</v>
      </c>
      <c r="F19" s="13">
        <f>ROUND(((SUMIF('Bar Schedule'!D8:D1048576,E19,'Bar Schedule'!I8:I1048576))/1000),2)</f>
        <v>0</v>
      </c>
      <c r="G19" s="13">
        <f>ROUND((SUMIF('Bar Schedule'!D8:D1048576,E19,'Bar Schedule'!J8:J1048576)),2)</f>
        <v>0</v>
      </c>
    </row>
    <row r="20" spans="5:7" x14ac:dyDescent="0.25">
      <c r="E20" s="12">
        <v>36</v>
      </c>
      <c r="F20" s="13">
        <f>ROUND(((SUMIF('Bar Schedule'!D8:D1048576,E20,'Bar Schedule'!I8:I1048576))/1000),2)</f>
        <v>0</v>
      </c>
      <c r="G20" s="13">
        <f>ROUND((SUMIF('Bar Schedule'!D8:D1048576,E20,'Bar Schedule'!J8:J1048576)),2)</f>
        <v>0</v>
      </c>
    </row>
    <row r="21" spans="5:7" x14ac:dyDescent="0.25">
      <c r="E21" s="12">
        <v>40</v>
      </c>
      <c r="F21" s="13">
        <f>ROUND(((SUMIF('Bar Schedule'!D8:D1048576,E21,'Bar Schedule'!I8:I1048576))/1000),2)</f>
        <v>0</v>
      </c>
      <c r="G21" s="13">
        <f>ROUND((SUMIF('Bar Schedule'!D8:D1048576,E21,'Bar Schedule'!J8:J1048576)),2)</f>
        <v>0</v>
      </c>
    </row>
    <row r="22" spans="5:7" x14ac:dyDescent="0.25">
      <c r="E22" s="12">
        <v>45</v>
      </c>
      <c r="F22" s="13">
        <f>ROUND(((SUMIF('Bar Schedule'!D8:D1048576,E22,'Bar Schedule'!I8:I1048576))/1000),2)</f>
        <v>0</v>
      </c>
      <c r="G22" s="13">
        <f>ROUND((SUMIF('Bar Schedule'!D8:D1048576,E22,'Bar Schedule'!J8:J1048576)),2)</f>
        <v>0</v>
      </c>
    </row>
    <row r="23" spans="5:7" x14ac:dyDescent="0.25">
      <c r="E23" s="12">
        <v>50</v>
      </c>
      <c r="F23" s="13">
        <f>ROUND(((SUMIF('Bar Schedule'!D8:D1048576,E23,'Bar Schedule'!I8:I1048576))/1000),2)</f>
        <v>0</v>
      </c>
      <c r="G23" s="13">
        <f>ROUND((SUMIF('Bar Schedule'!D8:D1048576,E23,'Bar Schedule'!J8:J1048576)),2)</f>
        <v>0</v>
      </c>
    </row>
    <row r="24" spans="5:7" x14ac:dyDescent="0.25">
      <c r="E24" s="41" t="s">
        <v>35</v>
      </c>
      <c r="F24" s="41"/>
      <c r="G24" s="14">
        <f>SUM(G9:G23)</f>
        <v>42.58</v>
      </c>
    </row>
  </sheetData>
  <mergeCells count="11">
    <mergeCell ref="F1:G1"/>
    <mergeCell ref="F2:G2"/>
    <mergeCell ref="F3:G3"/>
    <mergeCell ref="E24:F24"/>
    <mergeCell ref="A1:A4"/>
    <mergeCell ref="B1:E1"/>
    <mergeCell ref="B2:E2"/>
    <mergeCell ref="B3:E3"/>
    <mergeCell ref="B4:E4"/>
    <mergeCell ref="B6:E6"/>
    <mergeCell ref="B5:E5"/>
  </mergeCells>
  <pageMargins left="0.7" right="0.7" top="0.75" bottom="0.75" header="0.3" footer="0.3"/>
  <pageSetup paperSize="9" orientation="landscape" cellComments="atEnd" horizontalDpi="300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Rebar_Shape_04" Type="http://schemas.openxmlformats.org/officeDocument/2006/relationships/image" Target="images/Rebar_Shape_04.png"/><Relationship Id="Rebar_Shape_09" Type="http://schemas.openxmlformats.org/officeDocument/2006/relationships/image" Target="images/Rebar_Shape_09.png"/><Relationship Id="Rebar_Shape_17" Type="http://schemas.openxmlformats.org/officeDocument/2006/relationships/image" Target="images/Rebar_Shape_17.png"/><Relationship Id="Rebar_Shape_25" Type="http://schemas.openxmlformats.org/officeDocument/2006/relationships/image" Target="images/Rebar_Shape_25.png"/><Relationship Id="Rebar_Shape_38" Type="http://schemas.openxmlformats.org/officeDocument/2006/relationships/image" Target="images/Rebar_Shape_38.png"/><Relationship Id="Rebar_Shape_12" Type="http://schemas.openxmlformats.org/officeDocument/2006/relationships/image" Target="images/Rebar_Shape_12.png"/><Relationship Id="Rebar_Shape_20" Type="http://schemas.openxmlformats.org/officeDocument/2006/relationships/image" Target="images/Rebar_Shape_20.png"/><Relationship Id="Rebar_Shape_33" Type="http://schemas.openxmlformats.org/officeDocument/2006/relationships/image" Target="images/Rebar_Shape_33.png"/><Relationship Id="Rebar_Shape_41" Type="http://schemas.openxmlformats.org/officeDocument/2006/relationships/image" Target="images/Rebar_Shape_41.png"/><Relationship Id="Rebar_Shape_46" Type="http://schemas.openxmlformats.org/officeDocument/2006/relationships/image" Target="images/Rebar_Shape_46.png"/><Relationship Id="Rebar_Shape_07" Type="http://schemas.openxmlformats.org/officeDocument/2006/relationships/image" Target="images/Rebar_Shape_07.png"/><Relationship Id="Rebar_Shape_15" Type="http://schemas.openxmlformats.org/officeDocument/2006/relationships/image" Target="images/Rebar_Shape_15.png"/><Relationship Id="Rebar_Shape_28" Type="http://schemas.openxmlformats.org/officeDocument/2006/relationships/image" Target="images/Rebar_Shape_28.png"/><Relationship Id="ClearDataValidation" Type="http://schemas.openxmlformats.org/officeDocument/2006/relationships/image" Target="images/ClearDataValidation.png"/><Relationship Id="Rebar_Shape_02" Type="http://schemas.openxmlformats.org/officeDocument/2006/relationships/image" Target="images/Rebar_Shape_02.png"/><Relationship Id="Rebar_Shape_10" Type="http://schemas.openxmlformats.org/officeDocument/2006/relationships/image" Target="images/Rebar_Shape_10.png"/><Relationship Id="Rebar_Shape_23" Type="http://schemas.openxmlformats.org/officeDocument/2006/relationships/image" Target="images/Rebar_Shape_23.png"/><Relationship Id="Rebar_Shape_31" Type="http://schemas.openxmlformats.org/officeDocument/2006/relationships/image" Target="images/Rebar_Shape_31.png"/><Relationship Id="Bar_x0020_Weight" Type="http://schemas.openxmlformats.org/officeDocument/2006/relationships/image" Target="images/Bar_x0020_Weight.png"/><Relationship Id="Rebar_Shape_36" Type="http://schemas.openxmlformats.org/officeDocument/2006/relationships/image" Target="images/Rebar_Shape_36.png"/><Relationship Id="Rebar_Shape_44" Type="http://schemas.openxmlformats.org/officeDocument/2006/relationships/image" Target="images/Rebar_Shape_44.png"/><Relationship Id="Ribbon_Icon_Help" Type="http://schemas.openxmlformats.org/officeDocument/2006/relationships/image" Target="images/Ribbon_Icon_Help.png"/><Relationship Id="Rebar_Shape_05" Type="http://schemas.openxmlformats.org/officeDocument/2006/relationships/image" Target="images/Rebar_Shape_05.png"/><Relationship Id="Rebar_Shape_18" Type="http://schemas.openxmlformats.org/officeDocument/2006/relationships/image" Target="images/Rebar_Shape_18.png"/><Relationship Id="Rebar_Shape_30" Type="http://schemas.openxmlformats.org/officeDocument/2006/relationships/image" Target="images/Rebar_Shape_30.png"/><Relationship Id="Rebar_Shape_43" Type="http://schemas.openxmlformats.org/officeDocument/2006/relationships/image" Target="images/Rebar_Shape_43.png"/><Relationship Id="Rebar_Shape_13" Type="http://schemas.openxmlformats.org/officeDocument/2006/relationships/image" Target="images/Rebar_Shape_13.png"/><Relationship Id="Rebar_Shape_21" Type="http://schemas.openxmlformats.org/officeDocument/2006/relationships/image" Target="images/Rebar_Shape_21.png"/><Relationship Id="Rebar_Shape_26" Type="http://schemas.openxmlformats.org/officeDocument/2006/relationships/image" Target="images/Rebar_Shape_26.png"/><Relationship Id="Rebar_Shape_34" Type="http://schemas.openxmlformats.org/officeDocument/2006/relationships/image" Target="images/Rebar_Shape_34.png"/><Relationship Id="Rebar_Shape_39" Type="http://schemas.openxmlformats.org/officeDocument/2006/relationships/image" Target="images/Rebar_Shape_39.png"/><Relationship Id="Rebar_Shape_42" Type="http://schemas.openxmlformats.org/officeDocument/2006/relationships/image" Target="images/Rebar_Shape_42.png"/><Relationship Id="Rebar_Shape_47" Type="http://schemas.openxmlformats.org/officeDocument/2006/relationships/image" Target="images/Rebar_Shape_47.png"/><Relationship Id="Rebar_Shape_08" Type="http://schemas.openxmlformats.org/officeDocument/2006/relationships/image" Target="images/Rebar_Shape_08.png"/><Relationship Id="RebarShape" Type="http://schemas.openxmlformats.org/officeDocument/2006/relationships/image" Target="images/RebarShape.png"/><Relationship Id="Rebar_Shape_03" Type="http://schemas.openxmlformats.org/officeDocument/2006/relationships/image" Target="images/Rebar_Shape_03.png"/><Relationship Id="Rebar_Shape_11" Type="http://schemas.openxmlformats.org/officeDocument/2006/relationships/image" Target="images/Rebar_Shape_11.png"/><Relationship Id="Rebar_Shape_16" Type="http://schemas.openxmlformats.org/officeDocument/2006/relationships/image" Target="images/Rebar_Shape_16.png"/><Relationship Id="Rebar_Shape_24" Type="http://schemas.openxmlformats.org/officeDocument/2006/relationships/image" Target="images/Rebar_Shape_24.png"/><Relationship Id="Rebar_Shape_29" Type="http://schemas.openxmlformats.org/officeDocument/2006/relationships/image" Target="images/Rebar_Shape_29.png"/><Relationship Id="Rebar_Shape_32" Type="http://schemas.openxmlformats.org/officeDocument/2006/relationships/image" Target="images/Rebar_Shape_32.png"/><Relationship Id="Rebar_Shape_37" Type="http://schemas.openxmlformats.org/officeDocument/2006/relationships/image" Target="images/Rebar_Shape_37.png"/><Relationship Id="Rebar_Shape_45" Type="http://schemas.openxmlformats.org/officeDocument/2006/relationships/image" Target="images/Rebar_Shape_45.png"/><Relationship Id="Header" Type="http://schemas.openxmlformats.org/officeDocument/2006/relationships/image" Target="images/Header.png"/><Relationship Id="Bar_x0020_Schedule" Type="http://schemas.openxmlformats.org/officeDocument/2006/relationships/image" Target="images/Bar_x0020_Schedule.png"/><Relationship Id="Rebar_Shape_40" Type="http://schemas.openxmlformats.org/officeDocument/2006/relationships/image" Target="images/Rebar_Shape_40.png"/><Relationship Id="Rebar_Shape_01" Type="http://schemas.openxmlformats.org/officeDocument/2006/relationships/image" Target="images/Rebar_Shape_01.png"/><Relationship Id="Rebar_Shape_06" Type="http://schemas.openxmlformats.org/officeDocument/2006/relationships/image" Target="images/Rebar_Shape_06.png"/><Relationship Id="Rebar_Shape_14" Type="http://schemas.openxmlformats.org/officeDocument/2006/relationships/image" Target="images/Rebar_Shape_14.png"/><Relationship Id="Rebar_Shape_19" Type="http://schemas.openxmlformats.org/officeDocument/2006/relationships/image" Target="images/Rebar_Shape_19.png"/><Relationship Id="Rebar_Shape_22" Type="http://schemas.openxmlformats.org/officeDocument/2006/relationships/image" Target="images/Rebar_Shape_22.png"/><Relationship Id="Rebar_Shape_27" Type="http://schemas.openxmlformats.org/officeDocument/2006/relationships/image" Target="images/Rebar_Shape_27.png"/><Relationship Id="Rebar_Shape_35" Type="http://schemas.openxmlformats.org/officeDocument/2006/relationships/image" Target="images/Rebar_Shape_35.png"/></Relationships>
</file>

<file path=customUI/customUI14.xml><?xml version="1.0" encoding="utf-8"?>
<customUI xmlns="http://schemas.microsoft.com/office/2009/07/customui">
  <ribbon startFromScratch="false">
    <tabs>
      <tab id="RebarTab" label="Rebar Schedule">
        <group id="DocumentGroup" label="DocumentSetup">
          <button id="Button_BBSF" label="Sheet Header" image="Header" size="large" onAction="BarBedingScheduleFormatting"/>
          <button id="Button_CSF" label="Bar Schedule Sheet" image="Bar_x0020_Schedule" onAction="CalculationSheetFormatting"/>
          <button id="Button_BWSF" label="Bar Weight Sheet" image="Bar_x0020_Weight" onAction="BarWeightSheet"/>
        </group>
        <group id="ClearFormatting" label="Clear DropDown">
          <button id="Button_CF" label="Clear Data Validation" image="ClearDataValidation" size="large" onAction="ClearDatavalidation"/>
        </group>
        <group id="RebarGallery" label="Rebar Shapes">
          <gallery id="gallery01" columns="6" rows="6" label="IS 2502 Shapes" image="RebarShape" size="large" onAction="rxgal_01_Click">
            <item id="Item_01" image="Rebar_Shape_01"/>
            <item id="Item_02" image="Rebar_Shape_02"/>
            <item id="Item_03" image="Rebar_Shape_03"/>
            <item id="Item_04" image="Rebar_Shape_04"/>
            <item id="Item_05" image="Rebar_Shape_05"/>
            <item id="Item_06" image="Rebar_Shape_06"/>
            <item id="Item_07" image="Rebar_Shape_07"/>
            <item id="Item_08" image="Rebar_Shape_08"/>
            <item id="Item_09" image="Rebar_Shape_09"/>
            <item id="Item_10" image="Rebar_Shape_10"/>
            <item id="Item_11" image="Rebar_Shape_11"/>
            <item id="Item_12" image="Rebar_Shape_12"/>
            <item id="Item_13" image="Rebar_Shape_13"/>
            <item id="Item_14" image="Rebar_Shape_14"/>
            <item id="Item_15" image="Rebar_Shape_15"/>
            <item id="Item_16" image="Rebar_Shape_16"/>
            <item id="Item_17" image="Rebar_Shape_17"/>
            <item id="Item_18" image="Rebar_Shape_18"/>
            <item id="Item_19" image="Rebar_Shape_19"/>
            <item id="Item_20" image="Rebar_Shape_20"/>
            <item id="Item_21" image="Rebar_Shape_21"/>
            <item id="Item_22" image="Rebar_Shape_22"/>
            <item id="Item_23" image="Rebar_Shape_23"/>
            <item id="Item_24" image="Rebar_Shape_24"/>
            <item id="Item_25" image="Rebar_Shape_25"/>
            <item id="Item_26" image="Rebar_Shape_26"/>
            <item id="Item_27" image="Rebar_Shape_27"/>
            <item id="Item_28" image="Rebar_Shape_28"/>
            <item id="Item_29" image="Rebar_Shape_29"/>
            <item id="Item_30" image="Rebar_Shape_30"/>
            <item id="Item_31" image="Rebar_Shape_31"/>
            <item id="Item_32" image="Rebar_Shape_32"/>
          </gallery>
          <gallery id="gallery02" columns="6" rows="3" label="Other Shapes" image="RebarShape" size="large" onAction="rxgal_02_Click">
            <item id="Item_33" image="Rebar_Shape_33"/>
            <item id="Item_34" image="Rebar_Shape_34"/>
            <item id="Item_35" image="Rebar_Shape_35"/>
            <item id="Item_36" image="Rebar_Shape_36"/>
            <item id="Item_37" image="Rebar_Shape_37"/>
            <item id="Item_38" image="Rebar_Shape_38"/>
            <item id="Item_39" image="Rebar_Shape_39"/>
            <item id="Item_40" image="Rebar_Shape_40"/>
            <item id="Item_41" image="Rebar_Shape_41"/>
            <item id="Item_42" image="Rebar_Shape_42"/>
            <item id="Item_43" image="Rebar_Shape_43"/>
            <item id="Item_44" image="Rebar_Shape_44"/>
            <item id="Item_45" image="Rebar_Shape_45"/>
            <item id="Item_46" image="Rebar_Shape_46"/>
            <item id="Item_47" image="Rebar_Shape_47"/>
          </gallery>
        </group>
        <group id="ID_Help" label="Help">
          <button id="Button_hlp" label="Help" image="Ribbon_Icon_Help" size="large" onAction="Helper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0E1C85-D005-401E-A2A4-AD136B7818F3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Bar Schedule</vt:lpstr>
      <vt:lpstr>Bar 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GRUS</dc:creator>
  <cp:lastModifiedBy>GRUS</cp:lastModifiedBy>
  <cp:lastPrinted>2022-05-05T07:00:36Z</cp:lastPrinted>
  <dcterms:created xsi:type="dcterms:W3CDTF">2022-04-20T11:48:36Z</dcterms:created>
  <dcterms:modified xsi:type="dcterms:W3CDTF">2022-05-07T11:33:38Z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{350E1C85-D005-401E-A2A4-AD136B7818F3}</vt:lpwstr>
  </property>
</Properties>
</file>